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0b0f166f4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Notes" sheetId="1" r:id="R047380466f244b63"/>
    <x:sheet xmlns:r="http://schemas.openxmlformats.org/officeDocument/2006/relationships" name="Monthly Actuals" sheetId="2" r:id="R3db1c6e7e1274fdd"/>
    <x:sheet xmlns:r="http://schemas.openxmlformats.org/officeDocument/2006/relationships" name="Budget vs Actual" sheetId="3" r:id="R07f806eabbea4614"/>
    <x:sheet xmlns:r="http://schemas.openxmlformats.org/officeDocument/2006/relationships" name="Client Profitability" sheetId="4" r:id="Ra1b9b513b7b84512"/>
    <x:sheet xmlns:r="http://schemas.openxmlformats.org/officeDocument/2006/relationships" name="Dashboard" sheetId="5" r:id="R83d42c2db42e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349"/>
      </x:patternFill>
    </x:fill>
    <x:fill>
      <x:patternFill patternType="solid">
        <x:fgColor rgb="FFF5F1E8"/>
      </x:patternFill>
    </x:fill>
    <x:fill>
      <x:patternFill patternType="solid">
        <x:fgColor rgb="FF476A8A"/>
      </x:patternFill>
    </x:fill>
    <x:fill>
      <x:patternFill patternType="solid">
        <x:fgColor rgb="FF283618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xfId="0" applyNumberFormat="1" applyFont="1" applyFill="1" applyBorder="0"/>
    <x:xf numFmtId="200" fontId="0" fillId="0" xfId="0" applyNumberFormat="1" applyFont="1" applyFill="1" applyBorder="0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DDE5D1"/>
        </x:patternFill>
      </x:fill>
    </x:dxf>
    <x:dxf>
      <x:font>
        <x:b/>
      </x:font>
      <x:fill>
        <x:patternFill>
          <x:bgColor rgb="FFF6E2C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c6db314104cb5" /><Relationship Type="http://schemas.openxmlformats.org/officeDocument/2006/relationships/theme" Target="/xl/theme/theme1.xml" Id="R5a024f5c0fda460c" /><Relationship Type="http://schemas.openxmlformats.org/officeDocument/2006/relationships/sharedStrings" Target="/xl/sharedStrings.xml" Id="R28ea433e18bd4843" /><Relationship Type="http://schemas.openxmlformats.org/officeDocument/2006/relationships/worksheet" Target="/xl/worksheets/sheet1.xml" Id="R047380466f244b63" /><Relationship Type="http://schemas.openxmlformats.org/officeDocument/2006/relationships/worksheet" Target="/xl/worksheets/sheet2.xml" Id="R3db1c6e7e1274fdd" /><Relationship Type="http://schemas.openxmlformats.org/officeDocument/2006/relationships/worksheet" Target="/xl/worksheets/sheet3.xml" Id="R07f806eabbea4614" /><Relationship Type="http://schemas.openxmlformats.org/officeDocument/2006/relationships/worksheet" Target="/xl/worksheets/sheet4.xml" Id="Ra1b9b513b7b84512" /><Relationship Type="http://schemas.openxmlformats.org/officeDocument/2006/relationships/worksheet" Target="/xl/worksheets/sheet5.xml" Id="R83d42c2db42e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226e01a4274669" /><Relationship Type="http://schemas.openxmlformats.org/officeDocument/2006/relationships/chart" Target="/xl/drawings/charts/chart2.xml" Id="R4794a376e06540d9" /><Relationship Type="http://schemas.openxmlformats.org/officeDocument/2006/relationships/chart" Target="/xl/drawings/charts/chart3.xml" Id="Rf57c9774627f44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Client Revenue</c:v>
          </c:tx>
          <c:marker>
            <c:symbol val="none"/>
          </c:marker>
          <c:cat>
            <c:strRef>
              <c:f>'Monthly Actuals'!$A$2:$A$7</c:f>
              <c:strCache>
                <c:ptCount val="0"/>
              </c:strCache>
            </c:strRef>
          </c:cat>
          <c:val>
            <c:numRef>
              <c:f>'Monthly Actuals'!$B$2:$B$7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Budget vs Actual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 Budget</c:v>
          </c:tx>
          <c:cat>
            <c:strRef>
              <c:f>'Budget vs Actual'!$A$4:$A$9</c:f>
              <c:strCache>
                <c:ptCount val="0"/>
              </c:strCache>
            </c:strRef>
          </c:cat>
          <c:val>
            <c:numRef>
              <c:f>'Budget vs Actual'!$B$4:$B$9</c:f>
              <c:numCache>
                <c:formatCode>$#,##0.00;[Red]-$#,##0.00</c:formatCode>
                <c:ptCount val="0"/>
              </c:numCache>
            </c:numRef>
          </c:val>
        </c:ser>
        <c:ser>
          <c:idx val="1"/>
          <c:order val="1"/>
          <c:tx>
            <c:v>Revenue Actual</c:v>
          </c:tx>
          <c:cat>
            <c:strRef>
              <c:f>'Budget vs Actual'!$A$4:$A$9</c:f>
              <c:strCache>
                <c:ptCount val="0"/>
              </c:strCache>
            </c:strRef>
          </c:cat>
          <c:val>
            <c:numRef>
              <c:f>'Budget vs Actual'!$C$4:$C$9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Client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'Client Profitability'!$A$4:$A$9</c:f>
              <c:strCache>
                <c:ptCount val="0"/>
              </c:strCache>
            </c:strRef>
          </c:cat>
          <c:val>
            <c:numRef>
              <c:f>'Client Profitability'!$B$4:$B$9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226e01a4274669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94a376e06540d9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10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7c9774627f44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7bbed07e01f48f5" /></Relationships>
</file>

<file path=xl/worksheets/sheet1.xml><?xml version="1.0" encoding="utf-8"?>
<x:worksheet xmlns:x="http://schemas.openxmlformats.org/spreadsheetml/2006/main">
  <x:sheetFormatPr defaultRowHeight="15"/>
  <x:cols>
    <x:col min="2" max="2" width="24" hidden="0" customWidth="1"/>
    <x:col min="3" max="3" width="72" hidden="0" customWidth="1"/>
  </x:cols>
  <x:sheetData>
    <x:row r="2" ht="28" customHeight="1">
      <x:c r="B2" s="4" t="str">
        <x:v>Creative Agency Financial Reporting | Simulated Portfolio</x:v>
      </x:c>
    </x:row>
    <x:row r="4">
      <x:c r="B4" s="9" t="str">
        <x:v>Portfolio Project</x:v>
      </x:c>
      <x:c r="C4" s="12" t="str">
        <x:v>Creative Agency Budget, Profitability &amp; Financial Dashboard</x:v>
      </x:c>
    </x:row>
    <x:row r="5">
      <x:c r="B5" s="9" t="str">
        <x:v>Business</x:v>
      </x:c>
      <x:c r="C5" s="12" t="str">
        <x:v>Northstar Creative Studio (fictional agency)</x:v>
      </x:c>
    </x:row>
    <x:row r="6">
      <x:c r="B6" s="9" t="str">
        <x:v>Period</x:v>
      </x:c>
      <x:c r="C6" s="12" t="str">
        <x:v>January–June 2026</x:v>
      </x:c>
    </x:row>
    <x:row r="7">
      <x:c r="B7" s="9" t="str">
        <x:v>Purpose</x:v>
      </x:c>
      <x:c r="C7" s="12" t="str">
        <x:v>Demonstrate budgeting, actual-vs-budget variance analysis, client profitability, expense monitoring, and management reporting.</x:v>
      </x:c>
    </x:row>
    <x:row r="8">
      <x:c r="B8" s="9" t="str">
        <x:v>Dataset</x:v>
      </x:c>
      <x:c r="C8" s="12" t="str">
        <x:v>Six months of simulated client revenue and operating expenses across six clients and seven expense categories.</x:v>
      </x:c>
    </x:row>
    <x:row r="9">
      <x:c r="B9" s="9" t="str">
        <x:v>Work Completed</x:v>
      </x:c>
      <x:c r="C9" s="12" t="str">
        <x:v>Built budget and actual schedules, variance calculations, client profitability analysis, monthly P&amp;L, concentration analysis, and executive dashboard.</x:v>
      </x:c>
    </x:row>
    <x:row r="10">
      <x:c r="B10" s="9" t="str">
        <x:v>Key Metrics</x:v>
      </x:c>
      <x:c r="C10" s="12" t="str">
        <x:v>Revenue; expenses; operating profit; margin; budget variance; client concentration; client gross margin.</x:v>
      </x:c>
    </x:row>
    <x:row r="11">
      <x:c r="B11" s="9" t="str">
        <x:v>Disclosure</x:v>
      </x:c>
      <x:c r="C11" s="12" t="str">
        <x:v>All clients, transactions, budgets, and financial results are simulated for portfolio demonstration.</x:v>
      </x:c>
    </x:row>
    <x:row r="12">
      <x:c r="B12" s="9" t="str">
        <x:v>Resume Bullet 1</x:v>
      </x:c>
      <x:c r="C12" s="12" t="str">
        <x:v>Built a six-month financial reporting model with automated budget-to-actual variance analysis, monthly P&amp;L, and profitability metrics.</x:v>
      </x:c>
    </x:row>
    <x:row r="13">
      <x:c r="B13" s="9" t="str">
        <x:v>Resume Bullet 2</x:v>
      </x:c>
      <x:c r="C13" s="12" t="str">
        <x:v>Analyzed simulated client revenue concentration and project-level margins to surface performance trends for management review.</x:v>
      </x:c>
    </x:row>
  </x:sheetData>
  <x:mergeCells>
    <x:mergeCell ref="B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6" customHeight="1">
      <x:c r="A1" s="18" t="str">
        <x:v>Month</x:v>
      </x:c>
      <x:c r="B1" s="18" t="str">
        <x:v>Client Revenue</x:v>
      </x:c>
      <x:c r="C1" s="18" t="str">
        <x:v>Contract Labor</x:v>
      </x:c>
      <x:c r="D1" s="18" t="str">
        <x:v>Software</x:v>
      </x:c>
      <x:c r="E1" s="18" t="str">
        <x:v>Advertising</x:v>
      </x:c>
      <x:c r="F1" s="18" t="str">
        <x:v>Travel</x:v>
      </x:c>
      <x:c r="G1" s="18" t="str">
        <x:v>Office</x:v>
      </x:c>
      <x:c r="H1" s="18" t="str">
        <x:v>Insurance</x:v>
      </x:c>
      <x:c r="I1" s="18" t="str">
        <x:v>Other</x:v>
      </x:c>
      <x:c r="J1" s="18" t="str">
        <x:v>Total Expenses</x:v>
      </x:c>
      <x:c r="K1" s="18" t="str">
        <x:v>Operating Profit</x:v>
      </x:c>
      <x:c r="L1" s="18" t="str">
        <x:v>Profit Margin</x:v>
      </x:c>
    </x:row>
    <x:row r="2">
      <x:c r="A2" t="str">
        <x:v>Jan 2026</x:v>
      </x:c>
      <x:c r="B2" s="24" t="n">
        <x:v>28500</x:v>
      </x:c>
      <x:c r="C2" s="24" t="n">
        <x:v>8400</x:v>
      </x:c>
      <x:c r="D2" s="24" t="n">
        <x:v>1250</x:v>
      </x:c>
      <x:c r="E2" s="24" t="n">
        <x:v>1800</x:v>
      </x:c>
      <x:c r="F2" s="24" t="n">
        <x:v>650</x:v>
      </x:c>
      <x:c r="G2" s="24" t="n">
        <x:v>420</x:v>
      </x:c>
      <x:c r="H2" s="24" t="n">
        <x:v>900</x:v>
      </x:c>
      <x:c r="I2" s="24" t="n">
        <x:v>760</x:v>
      </x:c>
      <x:c r="J2" s="24" t="n">
        <x:f>SUM(C2:I2)</x:f>
        <x:v>14180</x:v>
      </x:c>
      <x:c r="K2" s="24" t="n">
        <x:f>B2-J2</x:f>
        <x:v>14320</x:v>
      </x:c>
      <x:c r="L2" s="26" t="n">
        <x:f>IF(B2=0,0,K2/B2)</x:f>
        <x:v>0.5024561403508772</x:v>
      </x:c>
    </x:row>
    <x:row r="3">
      <x:c r="A3" t="str">
        <x:v>Feb 2026</x:v>
      </x:c>
      <x:c r="B3" s="24" t="n">
        <x:v>31200</x:v>
      </x:c>
      <x:c r="C3" s="24" t="n">
        <x:v>9100</x:v>
      </x:c>
      <x:c r="D3" s="24" t="n">
        <x:v>1250</x:v>
      </x:c>
      <x:c r="E3" s="24" t="n">
        <x:v>2200</x:v>
      </x:c>
      <x:c r="F3" s="24" t="n">
        <x:v>480</x:v>
      </x:c>
      <x:c r="G3" s="24" t="n">
        <x:v>390</x:v>
      </x:c>
      <x:c r="H3" s="24" t="n">
        <x:v>900</x:v>
      </x:c>
      <x:c r="I3" s="24" t="n">
        <x:v>680</x:v>
      </x:c>
      <x:c r="J3" s="24" t="n">
        <x:f>SUM(C3:I3)</x:f>
        <x:v>15000</x:v>
      </x:c>
      <x:c r="K3" s="24" t="n">
        <x:f>B3-J3</x:f>
        <x:v>16200</x:v>
      </x:c>
      <x:c r="L3" s="26" t="n">
        <x:f>IF(B3=0,0,K3/B3)</x:f>
        <x:v>0.5192307692307693</x:v>
      </x:c>
    </x:row>
    <x:row r="4">
      <x:c r="A4" t="str">
        <x:v>Mar 2026</x:v>
      </x:c>
      <x:c r="B4" s="24" t="n">
        <x:v>29800</x:v>
      </x:c>
      <x:c r="C4" s="24" t="n">
        <x:v>8700</x:v>
      </x:c>
      <x:c r="D4" s="24" t="n">
        <x:v>1325</x:v>
      </x:c>
      <x:c r="E4" s="24" t="n">
        <x:v>1600</x:v>
      </x:c>
      <x:c r="F4" s="24" t="n">
        <x:v>820</x:v>
      </x:c>
      <x:c r="G4" s="24" t="n">
        <x:v>510</x:v>
      </x:c>
      <x:c r="H4" s="24" t="n">
        <x:v>900</x:v>
      </x:c>
      <x:c r="I4" s="24" t="n">
        <x:v>740</x:v>
      </x:c>
      <x:c r="J4" s="24" t="n">
        <x:f>SUM(C4:I4)</x:f>
        <x:v>14595</x:v>
      </x:c>
      <x:c r="K4" s="24" t="n">
        <x:f>B4-J4</x:f>
        <x:v>15205</x:v>
      </x:c>
      <x:c r="L4" s="26" t="n">
        <x:f>IF(B4=0,0,K4/B4)</x:f>
        <x:v>0.510234899328859</x:v>
      </x:c>
    </x:row>
    <x:row r="5">
      <x:c r="A5" t="str">
        <x:v>Apr 2026</x:v>
      </x:c>
      <x:c r="B5" s="24" t="n">
        <x:v>35400</x:v>
      </x:c>
      <x:c r="C5" s="24" t="n">
        <x:v>10200</x:v>
      </x:c>
      <x:c r="D5" s="24" t="n">
        <x:v>1325</x:v>
      </x:c>
      <x:c r="E5" s="24" t="n">
        <x:v>2600</x:v>
      </x:c>
      <x:c r="F5" s="24" t="n">
        <x:v>450</x:v>
      </x:c>
      <x:c r="G5" s="24" t="n">
        <x:v>430</x:v>
      </x:c>
      <x:c r="H5" s="24" t="n">
        <x:v>900</x:v>
      </x:c>
      <x:c r="I5" s="24" t="n">
        <x:v>810</x:v>
      </x:c>
      <x:c r="J5" s="24" t="n">
        <x:f>SUM(C5:I5)</x:f>
        <x:v>16715</x:v>
      </x:c>
      <x:c r="K5" s="24" t="n">
        <x:f>B5-J5</x:f>
        <x:v>18685</x:v>
      </x:c>
      <x:c r="L5" s="26" t="n">
        <x:f>IF(B5=0,0,K5/B5)</x:f>
        <x:v>0.5278248587570622</x:v>
      </x:c>
    </x:row>
    <x:row r="6">
      <x:c r="A6" t="str">
        <x:v>May 2026</x:v>
      </x:c>
      <x:c r="B6" s="24" t="n">
        <x:v>38900</x:v>
      </x:c>
      <x:c r="C6" s="24" t="n">
        <x:v>11800</x:v>
      </x:c>
      <x:c r="D6" s="24" t="n">
        <x:v>1390</x:v>
      </x:c>
      <x:c r="E6" s="24" t="n">
        <x:v>3100</x:v>
      </x:c>
      <x:c r="F6" s="24" t="n">
        <x:v>1250</x:v>
      </x:c>
      <x:c r="G6" s="24" t="n">
        <x:v>470</x:v>
      </x:c>
      <x:c r="H6" s="24" t="n">
        <x:v>900</x:v>
      </x:c>
      <x:c r="I6" s="24" t="n">
        <x:v>920</x:v>
      </x:c>
      <x:c r="J6" s="24" t="n">
        <x:f>SUM(C6:I6)</x:f>
        <x:v>19830</x:v>
      </x:c>
      <x:c r="K6" s="24" t="n">
        <x:f>B6-J6</x:f>
        <x:v>19070</x:v>
      </x:c>
      <x:c r="L6" s="26" t="n">
        <x:f>IF(B6=0,0,K6/B6)</x:f>
        <x:v>0.4902313624678663</x:v>
      </x:c>
    </x:row>
    <x:row r="7">
      <x:c r="A7" t="str">
        <x:v>Jun 2026</x:v>
      </x:c>
      <x:c r="B7" s="24" t="n">
        <x:v>42100</x:v>
      </x:c>
      <x:c r="C7" s="24" t="n">
        <x:v>12600</x:v>
      </x:c>
      <x:c r="D7" s="24" t="n">
        <x:v>1390</x:v>
      </x:c>
      <x:c r="E7" s="24" t="n">
        <x:v>2800</x:v>
      </x:c>
      <x:c r="F7" s="24" t="n">
        <x:v>760</x:v>
      </x:c>
      <x:c r="G7" s="24" t="n">
        <x:v>520</x:v>
      </x:c>
      <x:c r="H7" s="24" t="n">
        <x:v>900</x:v>
      </x:c>
      <x:c r="I7" s="24" t="n">
        <x:v>880</x:v>
      </x:c>
      <x:c r="J7" s="24" t="n">
        <x:f>SUM(C7:I7)</x:f>
        <x:v>19850</x:v>
      </x:c>
      <x:c r="K7" s="24" t="n">
        <x:f>B7-J7</x:f>
        <x:v>22250</x:v>
      </x:c>
      <x:c r="L7" s="26" t="n">
        <x:f>IF(B7=0,0,K7/B7)</x:f>
        <x:v>0.5285035629453682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4" t="str">
        <x:v>Budget vs Actual Revenue &amp; Operating Expense</x:v>
      </x:c>
    </x:row>
    <x:row r="3" ht="26" customHeight="1">
      <x:c r="A3" s="18" t="str">
        <x:v>Month</x:v>
      </x:c>
      <x:c r="B3" s="18" t="str">
        <x:v>Revenue Budget</x:v>
      </x:c>
      <x:c r="C3" s="18" t="str">
        <x:v>Revenue Actual</x:v>
      </x:c>
      <x:c r="D3" s="18" t="str">
        <x:v>Revenue Variance</x:v>
      </x:c>
      <x:c r="E3" s="18" t="str">
        <x:v>Expense Budget</x:v>
      </x:c>
      <x:c r="F3" s="18" t="str">
        <x:v>Expense Actual</x:v>
      </x:c>
      <x:c r="G3" s="18" t="str">
        <x:v>Expense Variance</x:v>
      </x:c>
      <x:c r="H3" s="18" t="str">
        <x:v>Profit Variance</x:v>
      </x:c>
    </x:row>
    <x:row r="4">
      <x:c r="A4" t="str">
        <x:v>Jan 2026</x:v>
      </x:c>
      <x:c r="B4" s="24" t="n">
        <x:v>30000</x:v>
      </x:c>
      <x:c r="C4" s="24" t="n">
        <x:f>'Monthly Actuals'!B2</x:f>
        <x:v>28500</x:v>
      </x:c>
      <x:c r="D4" s="24" t="n">
        <x:f>C4-B4</x:f>
        <x:v>-1500</x:v>
      </x:c>
      <x:c r="E4" s="24" t="n">
        <x:v>14500</x:v>
      </x:c>
      <x:c r="F4" s="24" t="n">
        <x:f>'Monthly Actuals'!J2</x:f>
        <x:v>14180</x:v>
      </x:c>
      <x:c r="G4" s="24" t="n">
        <x:f>E4-F4</x:f>
        <x:v>320</x:v>
      </x:c>
      <x:c r="H4" s="24" t="n">
        <x:f>(C4-F4)-(B4-E4)</x:f>
        <x:v>-1180</x:v>
      </x:c>
    </x:row>
    <x:row r="5">
      <x:c r="A5" t="str">
        <x:v>Feb 2026</x:v>
      </x:c>
      <x:c r="B5" s="24" t="n">
        <x:v>30000</x:v>
      </x:c>
      <x:c r="C5" s="24" t="n">
        <x:f>'Monthly Actuals'!B3</x:f>
        <x:v>31200</x:v>
      </x:c>
      <x:c r="D5" s="24" t="n">
        <x:f>C5-B5</x:f>
        <x:v>1200</x:v>
      </x:c>
      <x:c r="E5" s="24" t="n">
        <x:v>14800</x:v>
      </x:c>
      <x:c r="F5" s="24" t="n">
        <x:f>'Monthly Actuals'!J3</x:f>
        <x:v>15000</x:v>
      </x:c>
      <x:c r="G5" s="24" t="n">
        <x:f>E5-F5</x:f>
        <x:v>-200</x:v>
      </x:c>
      <x:c r="H5" s="24" t="n">
        <x:f>(C5-F5)-(B5-E5)</x:f>
        <x:v>1000</x:v>
      </x:c>
    </x:row>
    <x:row r="6">
      <x:c r="A6" t="str">
        <x:v>Mar 2026</x:v>
      </x:c>
      <x:c r="B6" s="24" t="n">
        <x:v>32000</x:v>
      </x:c>
      <x:c r="C6" s="24" t="n">
        <x:f>'Monthly Actuals'!B4</x:f>
        <x:v>29800</x:v>
      </x:c>
      <x:c r="D6" s="24" t="n">
        <x:f>C6-B6</x:f>
        <x:v>-2200</x:v>
      </x:c>
      <x:c r="E6" s="24" t="n">
        <x:v>15200</x:v>
      </x:c>
      <x:c r="F6" s="24" t="n">
        <x:f>'Monthly Actuals'!J4</x:f>
        <x:v>14595</x:v>
      </x:c>
      <x:c r="G6" s="24" t="n">
        <x:f>E6-F6</x:f>
        <x:v>605</x:v>
      </x:c>
      <x:c r="H6" s="24" t="n">
        <x:f>(C6-F6)-(B6-E6)</x:f>
        <x:v>-1595</x:v>
      </x:c>
    </x:row>
    <x:row r="7">
      <x:c r="A7" t="str">
        <x:v>Apr 2026</x:v>
      </x:c>
      <x:c r="B7" s="24" t="n">
        <x:v>34000</x:v>
      </x:c>
      <x:c r="C7" s="24" t="n">
        <x:f>'Monthly Actuals'!B5</x:f>
        <x:v>35400</x:v>
      </x:c>
      <x:c r="D7" s="24" t="n">
        <x:f>C7-B7</x:f>
        <x:v>1400</x:v>
      </x:c>
      <x:c r="E7" s="24" t="n">
        <x:v>16000</x:v>
      </x:c>
      <x:c r="F7" s="24" t="n">
        <x:f>'Monthly Actuals'!J5</x:f>
        <x:v>16715</x:v>
      </x:c>
      <x:c r="G7" s="24" t="n">
        <x:f>E7-F7</x:f>
        <x:v>-715</x:v>
      </x:c>
      <x:c r="H7" s="24" t="n">
        <x:f>(C7-F7)-(B7-E7)</x:f>
        <x:v>685</x:v>
      </x:c>
    </x:row>
    <x:row r="8">
      <x:c r="A8" t="str">
        <x:v>May 2026</x:v>
      </x:c>
      <x:c r="B8" s="24" t="n">
        <x:v>36000</x:v>
      </x:c>
      <x:c r="C8" s="24" t="n">
        <x:f>'Monthly Actuals'!B6</x:f>
        <x:v>38900</x:v>
      </x:c>
      <x:c r="D8" s="24" t="n">
        <x:f>C8-B8</x:f>
        <x:v>2900</x:v>
      </x:c>
      <x:c r="E8" s="24" t="n">
        <x:v>17200</x:v>
      </x:c>
      <x:c r="F8" s="24" t="n">
        <x:f>'Monthly Actuals'!J6</x:f>
        <x:v>19830</x:v>
      </x:c>
      <x:c r="G8" s="24" t="n">
        <x:f>E8-F8</x:f>
        <x:v>-2630</x:v>
      </x:c>
      <x:c r="H8" s="24" t="n">
        <x:f>(C8-F8)-(B8-E8)</x:f>
        <x:v>270</x:v>
      </x:c>
    </x:row>
    <x:row r="9">
      <x:c r="A9" t="str">
        <x:v>Jun 2026</x:v>
      </x:c>
      <x:c r="B9" s="24" t="n">
        <x:v>39000</x:v>
      </x:c>
      <x:c r="C9" s="24" t="n">
        <x:f>'Monthly Actuals'!B7</x:f>
        <x:v>42100</x:v>
      </x:c>
      <x:c r="D9" s="24" t="n">
        <x:f>C9-B9</x:f>
        <x:v>3100</x:v>
      </x:c>
      <x:c r="E9" s="24" t="n">
        <x:v>18000</x:v>
      </x:c>
      <x:c r="F9" s="24" t="n">
        <x:f>'Monthly Actuals'!J7</x:f>
        <x:v>19850</x:v>
      </x:c>
      <x:c r="G9" s="24" t="n">
        <x:f>E9-F9</x:f>
        <x:v>-1850</x:v>
      </x:c>
      <x:c r="H9" s="24" t="n">
        <x:f>(C9-F9)-(B9-E9)</x:f>
        <x:v>1250</x:v>
      </x:c>
    </x:row>
    <x:row r="10">
      <x:c r="A10" s="9" t="str">
        <x:v>H1 TOTAL</x:v>
      </x:c>
      <x:c r="B10" s="28" t="n">
        <x:f>SUM(B4:B9)</x:f>
        <x:v>201000</x:v>
      </x:c>
      <x:c r="C10" s="28" t="n">
        <x:f>SUM(C4:C9)</x:f>
        <x:v>205900</x:v>
      </x:c>
      <x:c r="D10" s="28" t="n">
        <x:f>SUM(D4:D9)</x:f>
        <x:v>4900</x:v>
      </x:c>
      <x:c r="E10" s="28" t="n">
        <x:f>SUM(E4:E9)</x:f>
        <x:v>95700</x:v>
      </x:c>
      <x:c r="F10" s="28" t="n">
        <x:f>SUM(F4:F9)</x:f>
        <x:v>100170</x:v>
      </x:c>
      <x:c r="G10" s="28" t="n">
        <x:f>SUM(G4:G9)</x:f>
        <x:v>-4470</x:v>
      </x:c>
      <x:c r="H10" s="28" t="n">
        <x:f>SUM(H4:H9)</x:f>
        <x:v>430</x:v>
      </x:c>
    </x:row>
  </x:sheetData>
  <x:mergeCells>
    <x:mergeCell ref="A1:H1"/>
  </x:mergeCells>
  <x:conditionalFormatting sqref="D4:D9">
    <x:cfRule type="expression" dxfId="0" priority="1">
      <x:formula>D4&lt;0</x:formula>
    </x:cfRule>
    <x:cfRule type="expression" dxfId="1" priority="2">
      <x:formula>D4&gt;=0</x:formula>
    </x:cfRule>
  </x:conditionalFormatting>
  <x:conditionalFormatting sqref="G4:G9">
    <x:cfRule type="expression" dxfId="2" priority="3">
      <x:formula>G4&lt;0</x:formula>
    </x:cfRule>
    <x:cfRule type="expression" dxfId="3" priority="4">
      <x:formula>G4&gt;=0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4" t="str">
        <x:v>Client Profitability Analysis | H1 2026</x:v>
      </x:c>
    </x:row>
    <x:row r="3" ht="26" customHeight="1">
      <x:c r="A3" s="18" t="str">
        <x:v>Client</x:v>
      </x:c>
      <x:c r="B3" s="18" t="str">
        <x:v>Revenue</x:v>
      </x:c>
      <x:c r="C3" s="18" t="str">
        <x:v>Direct Labor</x:v>
      </x:c>
      <x:c r="D3" s="18" t="str">
        <x:v>Other Direct Cost</x:v>
      </x:c>
      <x:c r="E3" s="18" t="str">
        <x:v>Gross Profit</x:v>
      </x:c>
      <x:c r="F3" s="18" t="str">
        <x:v>Gross Margin</x:v>
      </x:c>
      <x:c r="G3" s="18" t="str">
        <x:v>Revenue Mix</x:v>
      </x:c>
      <x:c r="H3" s="18" t="str">
        <x:v>Risk Flag</x:v>
      </x:c>
    </x:row>
    <x:row r="4">
      <x:c r="A4" t="str">
        <x:v>Aster Legal</x:v>
      </x:c>
      <x:c r="B4" s="24" t="n">
        <x:v>42500</x:v>
      </x:c>
      <x:c r="C4" s="24" t="n">
        <x:v>12600</x:v>
      </x:c>
      <x:c r="D4" s="24" t="n">
        <x:v>1800</x:v>
      </x:c>
      <x:c r="E4" s="24" t="n">
        <x:f>B4-C4-D4</x:f>
        <x:v>28100</x:v>
      </x:c>
      <x:c r="F4" s="26" t="n">
        <x:f>IF(B4=0,0,E4/B4)</x:f>
        <x:v>0.6611764705882353</x:v>
      </x:c>
      <x:c r="G4" s="26" t="n">
        <x:f>B4/SUM($B$4:$B$9)</x:f>
        <x:v>0.2064108790675085</x:v>
      </x:c>
      <x:c r="H4" t="str">
        <x:f>IF(G4&gt;0.25,"CONCENTRATION",IF(F4&lt;0.55,"LOW MARGIN","OK"))</x:f>
        <x:v>OK</x:v>
      </x:c>
    </x:row>
    <x:row r="5">
      <x:c r="A5" t="str">
        <x:v>Blue Finch Media</x:v>
      </x:c>
      <x:c r="B5" s="24" t="n">
        <x:v>36800</x:v>
      </x:c>
      <x:c r="C5" s="24" t="n">
        <x:v>9700</x:v>
      </x:c>
      <x:c r="D5" s="24" t="n">
        <x:v>2200</x:v>
      </x:c>
      <x:c r="E5" s="24" t="n">
        <x:f>B5-C5-D5</x:f>
        <x:v>24900</x:v>
      </x:c>
      <x:c r="F5" s="26" t="n">
        <x:f>IF(B5=0,0,E5/B5)</x:f>
        <x:v>0.6766304347826086</x:v>
      </x:c>
      <x:c r="G5" s="26" t="n">
        <x:f>B5/SUM($B$4:$B$9)</x:f>
        <x:v>0.1787275376396309</x:v>
      </x:c>
      <x:c r="H5" t="str">
        <x:f>IF(G5&gt;0.25,"CONCENTRATION",IF(F5&lt;0.55,"LOW MARGIN","OK"))</x:f>
        <x:v>OK</x:v>
      </x:c>
    </x:row>
    <x:row r="6">
      <x:c r="A6" t="str">
        <x:v>Cedar Wellness</x:v>
      </x:c>
      <x:c r="B6" s="24" t="n">
        <x:v>31800</x:v>
      </x:c>
      <x:c r="C6" s="24" t="n">
        <x:v>8300</x:v>
      </x:c>
      <x:c r="D6" s="24" t="n">
        <x:v>1400</x:v>
      </x:c>
      <x:c r="E6" s="24" t="n">
        <x:f>B6-C6-D6</x:f>
        <x:v>22100</x:v>
      </x:c>
      <x:c r="F6" s="26" t="n">
        <x:f>IF(B6=0,0,E6/B6)</x:f>
        <x:v>0.6949685534591195</x:v>
      </x:c>
      <x:c r="G6" s="26" t="n">
        <x:f>B6/SUM($B$4:$B$9)</x:f>
        <x:v>0.1544439048081593</x:v>
      </x:c>
      <x:c r="H6" t="str">
        <x:f>IF(G6&gt;0.25,"CONCENTRATION",IF(F6&lt;0.55,"LOW MARGIN","OK"))</x:f>
        <x:v>OK</x:v>
      </x:c>
    </x:row>
    <x:row r="7">
      <x:c r="A7" t="str">
        <x:v>Driftwood Goods</x:v>
      </x:c>
      <x:c r="B7" s="24" t="n">
        <x:v>29500</x:v>
      </x:c>
      <x:c r="C7" s="24" t="n">
        <x:v>9100</x:v>
      </x:c>
      <x:c r="D7" s="24" t="n">
        <x:v>3100</x:v>
      </x:c>
      <x:c r="E7" s="24" t="n">
        <x:f>B7-C7-D7</x:f>
        <x:v>17300</x:v>
      </x:c>
      <x:c r="F7" s="26" t="n">
        <x:f>IF(B7=0,0,E7/B7)</x:f>
        <x:v>0.5864406779661017</x:v>
      </x:c>
      <x:c r="G7" s="26" t="n">
        <x:f>B7/SUM($B$4:$B$9)</x:f>
        <x:v>0.14327343370568238</x:v>
      </x:c>
      <x:c r="H7" t="str">
        <x:f>IF(G7&gt;0.25,"CONCENTRATION",IF(F7&lt;0.55,"LOW MARGIN","OK"))</x:f>
        <x:v>OK</x:v>
      </x:c>
    </x:row>
    <x:row r="8">
      <x:c r="A8" t="str">
        <x:v>Ember Events</x:v>
      </x:c>
      <x:c r="B8" s="24" t="n">
        <x:v>22600</x:v>
      </x:c>
      <x:c r="C8" s="24" t="n">
        <x:v>7400</x:v>
      </x:c>
      <x:c r="D8" s="24" t="n">
        <x:v>2600</x:v>
      </x:c>
      <x:c r="E8" s="24" t="n">
        <x:f>B8-C8-D8</x:f>
        <x:v>12600</x:v>
      </x:c>
      <x:c r="F8" s="26" t="n">
        <x:f>IF(B8=0,0,E8/B8)</x:f>
        <x:v>0.5575221238938053</x:v>
      </x:c>
      <x:c r="G8" s="26" t="n">
        <x:f>B8/SUM($B$4:$B$9)</x:f>
        <x:v>0.10976202039825157</x:v>
      </x:c>
      <x:c r="H8" t="str">
        <x:f>IF(G8&gt;0.25,"CONCENTRATION",IF(F8&lt;0.55,"LOW MARGIN","OK"))</x:f>
        <x:v>OK</x:v>
      </x:c>
    </x:row>
    <x:row r="9">
      <x:c r="A9" t="str">
        <x:v>Foxglove Tech</x:v>
      </x:c>
      <x:c r="B9" s="24" t="n">
        <x:v>42700</x:v>
      </x:c>
      <x:c r="C9" s="24" t="n">
        <x:v>13400</x:v>
      </x:c>
      <x:c r="D9" s="24" t="n">
        <x:v>2400</x:v>
      </x:c>
      <x:c r="E9" s="24" t="n">
        <x:f>B9-C9-D9</x:f>
        <x:v>26900</x:v>
      </x:c>
      <x:c r="F9" s="26" t="n">
        <x:f>IF(B9=0,0,E9/B9)</x:f>
        <x:v>0.629976580796253</x:v>
      </x:c>
      <x:c r="G9" s="26" t="n">
        <x:f>B9/SUM($B$4:$B$9)</x:f>
        <x:v>0.20738222438076737</x:v>
      </x:c>
      <x:c r="H9" t="str">
        <x:f>IF(G9&gt;0.25,"CONCENTRATION",IF(F9&lt;0.55,"LOW MARGIN","OK"))</x:f>
        <x:v>OK</x:v>
      </x:c>
    </x:row>
    <x:row r="10">
      <x:c r="A10" s="9" t="str">
        <x:v>TOTAL</x:v>
      </x:c>
      <x:c r="B10" s="28" t="n">
        <x:f>SUM(B4:B9)</x:f>
        <x:v>205900</x:v>
      </x:c>
      <x:c r="C10" s="28" t="n">
        <x:f>SUM(C4:C9)</x:f>
        <x:v>60500</x:v>
      </x:c>
      <x:c r="D10" s="28" t="n">
        <x:f>SUM(D4:D9)</x:f>
        <x:v>13500</x:v>
      </x:c>
      <x:c r="E10" s="28" t="n">
        <x:f>SUM(E4:E9)</x:f>
        <x:v>131900</x:v>
      </x:c>
      <x:c r="F10" s="30" t="n">
        <x:f>E10/B10</x:f>
        <x:v>0.6406022340942205</x:v>
      </x:c>
      <x:c r="G10" s="30" t="n">
        <x:f>SUM(G4:G9)</x:f>
        <x:v>1</x:v>
      </x:c>
      <x:c r="H10" s="9"/>
    </x:row>
  </x:sheetData>
  <x:mergeCells>
    <x:mergeCell ref="A1:H1"/>
  </x:mergeCells>
  <x:conditionalFormatting sqref="H4:H9">
    <x:cfRule type="expression" dxfId="4" priority="1">
      <x:formula>H4&lt;&gt;"OK"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130000114440918" hidden="0" customWidth="1"/>
    <x:col min="3" max="3" width="12.75" hidden="0" customWidth="1"/>
    <x:col min="4" max="4" width="10.630000114440918" hidden="0" customWidth="1"/>
    <x:col min="5" max="5" width="15" hidden="0" customWidth="1"/>
    <x:col min="6" max="6" width="14.630000114440918" hidden="0" customWidth="1"/>
    <x:col min="7" max="7" width="10.880000114440918" hidden="0" customWidth="1"/>
    <x:col min="8" max="8" width="11.380000114440918" hidden="0" customWidth="1"/>
    <x:col min="9" max="9" width="9.5" hidden="0" customWidth="1"/>
    <x:col min="10" max="10" width="10.75" hidden="0" customWidth="1"/>
  </x:cols>
  <x:sheetData>
    <x:row r="1" ht="28" customHeight="1">
      <x:c r="A1" s="4" t="str">
        <x:v>Creative Agency Executive Finance Dashboard</x:v>
      </x:c>
    </x:row>
    <x:row r="3" ht="26" customHeight="1">
      <x:c r="A3" s="18" t="str">
        <x:v>H1 Revenue</x:v>
      </x:c>
      <x:c r="B3" s="18" t="str">
        <x:v>H1 Expenses</x:v>
      </x:c>
      <x:c r="C3" s="18" t="str">
        <x:v>Operating Profit</x:v>
      </x:c>
      <x:c r="D3" s="18" t="str">
        <x:v>Profit Margin</x:v>
      </x:c>
      <x:c r="E3" s="18" t="str">
        <x:v>Revenue vs Budget</x:v>
      </x:c>
      <x:c r="F3" s="18" t="str">
        <x:v>Expense vs Budget</x:v>
      </x:c>
      <x:c r="G3" s="18" t="str">
        <x:v>Top Client</x:v>
      </x:c>
      <x:c r="H3" s="18" t="str">
        <x:v>Top Client Mix</x:v>
      </x:c>
      <x:c r="I3" s="18" t="str">
        <x:v>Best Month</x:v>
      </x:c>
      <x:c r="J3" s="18" t="str">
        <x:v>Worst Month</x:v>
      </x:c>
    </x:row>
    <x:row r="4">
      <x:c r="A4" s="24" t="n">
        <x:f>SUM('Monthly Actuals'!B2:B7)</x:f>
        <x:v>205900</x:v>
      </x:c>
      <x:c r="B4" s="24" t="n">
        <x:f>SUM('Monthly Actuals'!J2:J7)</x:f>
        <x:v>100170</x:v>
      </x:c>
      <x:c r="C4" s="24" t="n">
        <x:f>A4-B4</x:f>
        <x:v>105730</x:v>
      </x:c>
      <x:c r="D4" s="26" t="n">
        <x:f>C4/A4</x:f>
        <x:v>0.5135016998542982</x:v>
      </x:c>
      <x:c r="E4" s="24" t="n">
        <x:f>'Budget vs Actual'!D10</x:f>
        <x:v>4900</x:v>
      </x:c>
      <x:c r="F4" s="24" t="n">
        <x:f>'Budget vs Actual'!G10</x:f>
        <x:v>-4470</x:v>
      </x:c>
      <x:c r="G4" t="str">
        <x:f>INDEX('Client Profitability'!A4:A9,MATCH(MAX('Client Profitability'!B4:B9),'Client Profitability'!B4:B9,0))</x:f>
        <x:v>Foxglove Tech</x:v>
      </x:c>
      <x:c r="H4" s="26" t="n">
        <x:f>MAX('Client Profitability'!G4:G9)</x:f>
        <x:v>0.20738222438076737</x:v>
      </x:c>
      <x:c r="I4" t="str">
        <x:f>INDEX('Monthly Actuals'!A2:A7,MATCH(MAX('Monthly Actuals'!K2:K7),'Monthly Actuals'!K2:K7,0))</x:f>
        <x:v>Jun 2026</x:v>
      </x:c>
      <x:c r="J4" t="str">
        <x:f>INDEX('Monthly Actuals'!A2:A7,MATCH(MIN('Monthly Actuals'!K2:K7),'Monthly Actuals'!K2:K7,0))</x:f>
        <x:v>Jan 2026</x:v>
      </x:c>
    </x:row>
    <x:row r="7">
      <x:c r="A7" s="35" t="str">
        <x:v>Audit Check</x:v>
      </x:c>
      <x:c r="B7" s="35" t="str">
        <x:v>Source</x:v>
      </x:c>
      <x:c r="C7" s="35" t="str">
        <x:v>Report</x:v>
      </x:c>
      <x:c r="D7" s="35" t="str">
        <x:v>Difference</x:v>
      </x:c>
      <x:c r="E7" s="35" t="str">
        <x:v>Status</x:v>
      </x:c>
      <x:c r="F7"/>
    </x:row>
    <x:row r="8">
      <x:c r="A8" s="42" t="str">
        <x:v>Revenue tie-out</x:v>
      </x:c>
      <x:c r="B8" s="43" t="n">
        <x:f>SUM('Monthly Actuals'!$B$2:$B$7)</x:f>
        <x:v>205900</x:v>
      </x:c>
      <x:c r="C8" s="43" t="n">
        <x:f>A4</x:f>
        <x:v>205900</x:v>
      </x:c>
      <x:c r="D8" s="43" t="n">
        <x:f>B8-C8</x:f>
        <x:v>0</x:v>
      </x:c>
      <x:c r="E8" s="42" t="str">
        <x:f>IF(ABS(D8)&lt;0.01,"PASS","REVIEW")</x:f>
        <x:v>PASS</x:v>
      </x:c>
      <x:c r="F8"/>
    </x:row>
    <x:row r="9">
      <x:c r="A9" s="44" t="str">
        <x:v>Expense tie-out</x:v>
      </x:c>
      <x:c r="B9" s="45" t="n">
        <x:f>SUM('Monthly Actuals'!$J$2:$J$7)</x:f>
        <x:v>100170</x:v>
      </x:c>
      <x:c r="C9" s="45" t="n">
        <x:f>B4</x:f>
        <x:v>100170</x:v>
      </x:c>
      <x:c r="D9" s="45" t="n">
        <x:f>B9-C9</x:f>
        <x:v>0</x:v>
      </x:c>
      <x:c r="E9" s="44" t="str">
        <x:f>IF(ABS(D9)&lt;0.01,"PASS","REVIEW")</x:f>
        <x:v>PASS</x:v>
      </x:c>
      <x:c r="F9"/>
    </x:row>
    <x:row r="10">
      <x:c r="A10" s="44" t="str">
        <x:v>Operating profit tie-out</x:v>
      </x:c>
      <x:c r="B10" s="45" t="n">
        <x:f>SUM('Monthly Actuals'!$K$2:$K$7)</x:f>
        <x:v>105730</x:v>
      </x:c>
      <x:c r="C10" s="45" t="n">
        <x:f>C4</x:f>
        <x:v>105730</x:v>
      </x:c>
      <x:c r="D10" s="45" t="n">
        <x:f>B10-C10</x:f>
        <x:v>0</x:v>
      </x:c>
      <x:c r="E10" s="44" t="str">
        <x:f>IF(ABS(D10)&lt;0.01,"PASS","REVIEW")</x:f>
        <x:v>PASS</x:v>
      </x:c>
      <x:c r="F10"/>
    </x:row>
    <x:row r="11">
      <x:c r="A11" s="44" t="str">
        <x:v>Revenue budget variance tie-out</x:v>
      </x:c>
      <x:c r="B11" s="45" t="n">
        <x:f>'Budget vs Actual'!D10</x:f>
        <x:v>4900</x:v>
      </x:c>
      <x:c r="C11" s="45" t="n">
        <x:f>E4</x:f>
        <x:v>4900</x:v>
      </x:c>
      <x:c r="D11" s="45" t="n">
        <x:f>B11-C11</x:f>
        <x:v>0</x:v>
      </x:c>
      <x:c r="E11" s="44" t="str">
        <x:f>IF(ABS(D11)&lt;0.01,"PASS","REVIEW")</x:f>
        <x:v>PASS</x:v>
      </x:c>
      <x:c r="F11"/>
    </x:row>
    <x:row r="12">
      <x:c r="A12" s="44" t="str">
        <x:v>Expense budget variance tie-out</x:v>
      </x:c>
      <x:c r="B12" s="45" t="n">
        <x:f>'Budget vs Actual'!G10</x:f>
        <x:v>-4470</x:v>
      </x:c>
      <x:c r="C12" s="45" t="n">
        <x:f>F4</x:f>
        <x:v>-4470</x:v>
      </x:c>
      <x:c r="D12" s="45" t="n">
        <x:f>B12-C12</x:f>
        <x:v>0</x:v>
      </x:c>
      <x:c r="E12" s="44" t="str">
        <x:f>IF(ABS(D12)&lt;0.01,"PASS","REVIEW")</x:f>
        <x:v>PASS</x:v>
      </x:c>
      <x:c r="F12"/>
    </x:row>
    <x:row r="13">
      <x:c r="A13" s="46" t="str">
        <x:v>Client revenue tie-out</x:v>
      </x:c>
      <x:c r="B13" s="47" t="n">
        <x:f>SUM('Client Profitability'!$B$4:$B$9)</x:f>
        <x:v>205900</x:v>
      </x:c>
      <x:c r="C13" s="47" t="n">
        <x:f>A4</x:f>
        <x:v>205900</x:v>
      </x:c>
      <x:c r="D13" s="47" t="n">
        <x:f>B13-C13</x:f>
        <x:v>0</x:v>
      </x:c>
      <x:c r="E13" s="46" t="str">
        <x:f>IF(ABS(D13)&lt;0.01,"PASS","REVIEW")</x:f>
        <x:v>PASS</x:v>
      </x:c>
      <x:c r="F13"/>
    </x:row>
  </x:sheetData>
  <x:mergeCells>
    <x:mergeCell ref="A1:J1"/>
  </x:mergeCells>
  <x:conditionalFormatting sqref="E8:E13">
    <x:cfRule type="expression" dxfId="5" priority="1">
      <x:formula>E8="PASS"</x:formula>
    </x:cfRule>
    <x:cfRule type="expression" dxfId="6" priority="2">
      <x:formula>E8="REVIEW"</x:formula>
    </x:cfRule>
  </x:conditionalFormatting>
  <x:pageMargins left="0.7" right="0.7" top="0.75" bottom="0.75" header="0.3" footer="0.3"/>
  <x:drawing xmlns:r="http://schemas.openxmlformats.org/officeDocument/2006/relationships" r:id="R17bbed07e01f48f5"/>
</x:worksheet>
</file>